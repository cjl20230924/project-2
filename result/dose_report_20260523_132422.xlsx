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次计算汇总" sheetId="1" state="visible" r:id="rId1"/>
    <sheet xmlns:r="http://schemas.openxmlformats.org/officeDocument/2006/relationships" name="拟合参数" sheetId="2" state="visible" r:id="rId2"/>
    <sheet xmlns:r="http://schemas.openxmlformats.org/officeDocument/2006/relationships" name="剂量明细" sheetId="3" state="visible" r:id="rId3"/>
    <sheet xmlns:r="http://schemas.openxmlformats.org/officeDocument/2006/relationships" name="输入数据" sheetId="4" state="visible" r:id="rId4"/>
    <sheet xmlns:r="http://schemas.openxmlformats.org/officeDocument/2006/relationships" name="计算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b val="1"/>
      <color rgb="00FFFFFF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4" customWidth="1" min="5" max="5"/>
    <col width="20" customWidth="1" min="6" max="6"/>
    <col width="20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空气采样法内照射剂量计算报告</t>
        </is>
      </c>
    </row>
    <row r="3">
      <c r="A3" s="2" t="inlineStr">
        <is>
          <t>计算序号</t>
        </is>
      </c>
      <c r="B3" s="2" t="inlineStr">
        <is>
          <t>计算方法</t>
        </is>
      </c>
      <c r="C3" s="2" t="inlineStr">
        <is>
          <t>推荐方法</t>
        </is>
      </c>
      <c r="D3" s="2" t="inlineStr">
        <is>
          <t>口罩型号</t>
        </is>
      </c>
      <c r="E3" s="2" t="inlineStr">
        <is>
          <t>总防护因子</t>
        </is>
      </c>
      <c r="F3" s="2" t="inlineStr">
        <is>
          <t>原始总浓度 (Bq/m³)</t>
        </is>
      </c>
      <c r="G3" s="2" t="inlineStr">
        <is>
          <t>校正后总浓度 (Bq/m³)</t>
        </is>
      </c>
      <c r="H3" s="2" t="inlineStr">
        <is>
          <t>总有效剂量 (Sv)</t>
        </is>
      </c>
      <c r="I3" s="2" t="inlineStr">
        <is>
          <t>呼吸速率 (m³/h)</t>
        </is>
      </c>
      <c r="J3" s="2" t="inlineStr">
        <is>
          <t>工作时长 (h)</t>
        </is>
      </c>
      <c r="K3" s="2" t="inlineStr">
        <is>
          <t>数据质量</t>
        </is>
      </c>
      <c r="L3" s="2" t="inlineStr">
        <is>
          <t>非零级数</t>
        </is>
      </c>
    </row>
    <row r="4">
      <c r="A4" s="3" t="inlineStr">
        <is>
          <t>1</t>
        </is>
      </c>
      <c r="B4" s="3" t="inlineStr">
        <is>
          <t>国标单AMAD法</t>
        </is>
      </c>
      <c r="C4" s="3" t="inlineStr">
        <is>
          <t>国标单AMAD (5 μm)</t>
        </is>
      </c>
      <c r="D4" s="3" t="inlineStr">
        <is>
          <t>无防护</t>
        </is>
      </c>
      <c r="E4" s="3" t="inlineStr">
        <is>
          <t>1.000000</t>
        </is>
      </c>
      <c r="F4" s="3" t="inlineStr">
        <is>
          <t>2.7610e+00</t>
        </is>
      </c>
      <c r="G4" s="3" t="inlineStr">
        <is>
          <t>2.7610e+00</t>
        </is>
      </c>
      <c r="H4" s="3" t="inlineStr">
        <is>
          <t>1.1791e-05</t>
        </is>
      </c>
      <c r="I4" s="3" t="inlineStr">
        <is>
          <t>1.20</t>
        </is>
      </c>
      <c r="J4" s="3" t="inlineStr">
        <is>
          <t>8.0</t>
        </is>
      </c>
      <c r="K4" s="3" t="inlineStr">
        <is>
          <t>?</t>
        </is>
      </c>
      <c r="L4" s="3" t="inlineStr">
        <is>
          <t>?/9</t>
        </is>
      </c>
    </row>
    <row r="5">
      <c r="A5" s="3" t="inlineStr">
        <is>
          <t>2</t>
        </is>
      </c>
      <c r="B5" s="3" t="inlineStr">
        <is>
          <t>多模态拟合法（单峰）</t>
        </is>
      </c>
      <c r="C5" s="3" t="inlineStr">
        <is>
          <t>Bimodal (Recommended)</t>
        </is>
      </c>
      <c r="D5" s="3" t="inlineStr">
        <is>
          <t>无防护</t>
        </is>
      </c>
      <c r="E5" s="3" t="inlineStr">
        <is>
          <t>1.000000</t>
        </is>
      </c>
      <c r="F5" s="3" t="inlineStr">
        <is>
          <t>2.7610e+00</t>
        </is>
      </c>
      <c r="G5" s="3" t="inlineStr">
        <is>
          <t>2.7610e+00</t>
        </is>
      </c>
      <c r="H5" s="3" t="inlineStr">
        <is>
          <t>1.1719e-05</t>
        </is>
      </c>
      <c r="I5" s="3" t="inlineStr">
        <is>
          <t>1.20</t>
        </is>
      </c>
      <c r="J5" s="3" t="inlineStr">
        <is>
          <t>8.0</t>
        </is>
      </c>
      <c r="K5" s="3" t="inlineStr">
        <is>
          <t>good</t>
        </is>
      </c>
      <c r="L5" s="3" t="inlineStr">
        <is>
          <t>9/9</t>
        </is>
      </c>
    </row>
    <row r="6">
      <c r="A6" s="3" t="inlineStr">
        <is>
          <t>3</t>
        </is>
      </c>
      <c r="B6" s="3" t="inlineStr">
        <is>
          <t>多模态拟合法（双峰）</t>
        </is>
      </c>
      <c r="C6" s="3" t="inlineStr">
        <is>
          <t>Bimodal (Recommended)</t>
        </is>
      </c>
      <c r="D6" s="3" t="inlineStr">
        <is>
          <t>无防护</t>
        </is>
      </c>
      <c r="E6" s="3" t="inlineStr">
        <is>
          <t>1.000000</t>
        </is>
      </c>
      <c r="F6" s="3" t="inlineStr">
        <is>
          <t>2.7610e+00</t>
        </is>
      </c>
      <c r="G6" s="3" t="inlineStr">
        <is>
          <t>2.7610e+00</t>
        </is>
      </c>
      <c r="H6" s="3" t="inlineStr">
        <is>
          <t>1.1621e-05</t>
        </is>
      </c>
      <c r="I6" s="3" t="inlineStr">
        <is>
          <t>1.20</t>
        </is>
      </c>
      <c r="J6" s="3" t="inlineStr">
        <is>
          <t>8.0</t>
        </is>
      </c>
      <c r="K6" s="3" t="inlineStr">
        <is>
          <t>good</t>
        </is>
      </c>
      <c r="L6" s="3" t="inlineStr">
        <is>
          <t>9/9</t>
        </is>
      </c>
    </row>
    <row r="7">
      <c r="A7" s="3" t="inlineStr">
        <is>
          <t>4</t>
        </is>
      </c>
      <c r="B7" s="3" t="inlineStr">
        <is>
          <t>正态概率图法</t>
        </is>
      </c>
      <c r="C7" s="3" t="inlineStr">
        <is>
          <t>正态概率法 (R²=0.8098)</t>
        </is>
      </c>
      <c r="D7" s="3" t="inlineStr">
        <is>
          <t>无防护</t>
        </is>
      </c>
      <c r="E7" s="3" t="inlineStr">
        <is>
          <t>1.000000</t>
        </is>
      </c>
      <c r="F7" s="3" t="inlineStr">
        <is>
          <t>2.7610e+00</t>
        </is>
      </c>
      <c r="G7" s="3" t="inlineStr">
        <is>
          <t>2.7610e+00</t>
        </is>
      </c>
      <c r="H7" s="3" t="inlineStr">
        <is>
          <t>8.8352e-06</t>
        </is>
      </c>
      <c r="I7" s="3" t="inlineStr">
        <is>
          <t>1.20</t>
        </is>
      </c>
      <c r="J7" s="3" t="inlineStr">
        <is>
          <t>8.0</t>
        </is>
      </c>
      <c r="K7" s="3" t="inlineStr">
        <is>
          <t>?</t>
        </is>
      </c>
      <c r="L7" s="3" t="inlineStr">
        <is>
          <t>?/9</t>
        </is>
      </c>
    </row>
    <row r="8">
      <c r="A8" s="3" t="inlineStr">
        <is>
          <t>5</t>
        </is>
      </c>
      <c r="B8" s="3" t="inlineStr">
        <is>
          <t>逐级独立法</t>
        </is>
      </c>
      <c r="C8" s="3" t="inlineStr">
        <is>
          <t>逐级独立法</t>
        </is>
      </c>
      <c r="D8" s="3" t="inlineStr">
        <is>
          <t>无防护</t>
        </is>
      </c>
      <c r="E8" s="3" t="inlineStr">
        <is>
          <t>1.000000</t>
        </is>
      </c>
      <c r="F8" s="3" t="inlineStr">
        <is>
          <t>2.7610e+00</t>
        </is>
      </c>
      <c r="G8" s="3" t="inlineStr">
        <is>
          <t>2.7610e+00</t>
        </is>
      </c>
      <c r="H8" s="3" t="inlineStr">
        <is>
          <t>8.6283e-05</t>
        </is>
      </c>
      <c r="I8" s="3" t="inlineStr">
        <is>
          <t>1.20</t>
        </is>
      </c>
      <c r="J8" s="3" t="inlineStr">
        <is>
          <t>8.0</t>
        </is>
      </c>
      <c r="K8" s="3" t="inlineStr">
        <is>
          <t>?</t>
        </is>
      </c>
      <c r="L8" s="3" t="inlineStr">
        <is>
          <t>?/9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拟合参数与信息准则</t>
        </is>
      </c>
    </row>
    <row r="3">
      <c r="A3" s="2" t="inlineStr">
        <is>
          <t>方法</t>
        </is>
      </c>
      <c r="B3" s="2" t="inlineStr">
        <is>
          <t>AMAD (μm)</t>
        </is>
      </c>
      <c r="C3" s="2" t="inlineStr">
        <is>
          <t>GSD</t>
        </is>
      </c>
      <c r="D3" s="2" t="inlineStr">
        <is>
          <t>AIC</t>
        </is>
      </c>
      <c r="E3" s="2" t="inlineStr">
        <is>
          <t>BIC</t>
        </is>
      </c>
    </row>
    <row r="4">
      <c r="A4" s="3" t="inlineStr">
        <is>
          <t>单峰对数正态</t>
        </is>
      </c>
      <c r="B4" s="3" t="inlineStr">
        <is>
          <t>15.620</t>
        </is>
      </c>
      <c r="C4" s="3" t="inlineStr">
        <is>
          <t>1.637</t>
        </is>
      </c>
      <c r="D4" s="3" t="inlineStr">
        <is>
          <t>nan</t>
        </is>
      </c>
      <c r="E4" s="3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J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22" customWidth="1" min="5" max="5"/>
    <col width="12" customWidth="1" min="6" max="6"/>
    <col width="20" customWidth="1" min="7" max="7"/>
    <col width="14" customWidth="1" min="8" max="8"/>
    <col width="20" customWidth="1" min="9" max="9"/>
    <col width="16" customWidth="1" min="10" max="10"/>
  </cols>
  <sheetData>
    <row r="3">
      <c r="A3" s="2" t="inlineStr">
        <is>
          <t>计算序号</t>
        </is>
      </c>
      <c r="B3" s="2" t="inlineStr">
        <is>
          <t>计算方法</t>
        </is>
      </c>
      <c r="C3" s="2" t="inlineStr">
        <is>
          <t>口罩型号</t>
        </is>
      </c>
      <c r="D3" s="2" t="inlineStr">
        <is>
          <t>化合物</t>
        </is>
      </c>
      <c r="E3" s="2" t="inlineStr">
        <is>
          <t>气溶胶类型</t>
        </is>
      </c>
      <c r="F3" s="2" t="inlineStr">
        <is>
          <t>核素</t>
        </is>
      </c>
      <c r="G3" s="2" t="inlineStr">
        <is>
          <t>AMAD/粒径</t>
        </is>
      </c>
      <c r="H3" s="2" t="inlineStr">
        <is>
          <t>e (Sv/Bq)</t>
        </is>
      </c>
      <c r="I3" s="2" t="inlineStr">
        <is>
          <t>活度贡献 (Bq/m³)</t>
        </is>
      </c>
      <c r="J3" s="2" t="inlineStr">
        <is>
          <t>剂量 (Sv)</t>
        </is>
      </c>
    </row>
    <row r="4">
      <c r="A4" s="3" t="inlineStr">
        <is>
          <t>1</t>
        </is>
      </c>
      <c r="B4" s="3" t="inlineStr">
        <is>
          <t>国标单AMAD法</t>
        </is>
      </c>
      <c r="C4" s="3" t="inlineStr">
        <is>
          <t>无防护</t>
        </is>
      </c>
      <c r="D4" s="3" t="inlineStr">
        <is>
          <t>U3O8</t>
        </is>
      </c>
      <c r="E4" s="3" t="inlineStr">
        <is>
          <t>Intermediate Type M/S</t>
        </is>
      </c>
      <c r="F4" s="3" t="inlineStr">
        <is>
          <t>U_238</t>
        </is>
      </c>
      <c r="G4" s="3" t="inlineStr">
        <is>
          <t>5.00</t>
        </is>
      </c>
      <c r="H4" s="3" t="inlineStr">
        <is>
          <t>4.800e-06</t>
        </is>
      </c>
      <c r="I4" s="3" t="inlineStr">
        <is>
          <t>1.1852e-01</t>
        </is>
      </c>
      <c r="J4" s="3" t="inlineStr">
        <is>
          <t>5.4613e-06</t>
        </is>
      </c>
    </row>
    <row r="5">
      <c r="A5" s="3" t="inlineStr">
        <is>
          <t>1</t>
        </is>
      </c>
      <c r="B5" s="3" t="inlineStr">
        <is>
          <t>国标单AMAD法</t>
        </is>
      </c>
      <c r="C5" s="3" t="inlineStr">
        <is>
          <t>无防护</t>
        </is>
      </c>
      <c r="D5" s="3" t="inlineStr">
        <is>
          <t>U3O8</t>
        </is>
      </c>
      <c r="E5" s="3" t="inlineStr">
        <is>
          <t>Intermediate Type M/S</t>
        </is>
      </c>
      <c r="F5" s="3" t="inlineStr">
        <is>
          <t>U_235</t>
        </is>
      </c>
      <c r="G5" s="3" t="inlineStr">
        <is>
          <t>5.00</t>
        </is>
      </c>
      <c r="H5" s="3" t="inlineStr">
        <is>
          <t>5.100e-06</t>
        </is>
      </c>
      <c r="I5" s="3" t="inlineStr">
        <is>
          <t>2.0915e-02</t>
        </is>
      </c>
      <c r="J5" s="3" t="inlineStr">
        <is>
          <t>1.0240e-06</t>
        </is>
      </c>
    </row>
    <row r="6">
      <c r="A6" s="3" t="inlineStr">
        <is>
          <t>1</t>
        </is>
      </c>
      <c r="B6" s="3" t="inlineStr">
        <is>
          <t>国标单AMAD法</t>
        </is>
      </c>
      <c r="C6" s="3" t="inlineStr">
        <is>
          <t>无防护</t>
        </is>
      </c>
      <c r="D6" s="3" t="inlineStr">
        <is>
          <t>UO2</t>
        </is>
      </c>
      <c r="E6" s="3" t="inlineStr">
        <is>
          <t>Intermediate Type M/S</t>
        </is>
      </c>
      <c r="F6" s="3" t="inlineStr">
        <is>
          <t>U_238</t>
        </is>
      </c>
      <c r="G6" s="3" t="inlineStr">
        <is>
          <t>5.00</t>
        </is>
      </c>
      <c r="H6" s="3" t="inlineStr">
        <is>
          <t>4.800e-06</t>
        </is>
      </c>
      <c r="I6" s="3" t="inlineStr">
        <is>
          <t>9.6969e-02</t>
        </is>
      </c>
      <c r="J6" s="3" t="inlineStr">
        <is>
          <t>4.4683e-06</t>
        </is>
      </c>
    </row>
    <row r="7">
      <c r="A7" s="3" t="inlineStr">
        <is>
          <t>1</t>
        </is>
      </c>
      <c r="B7" s="3" t="inlineStr">
        <is>
          <t>国标单AMAD法</t>
        </is>
      </c>
      <c r="C7" s="3" t="inlineStr">
        <is>
          <t>无防护</t>
        </is>
      </c>
      <c r="D7" s="3" t="inlineStr">
        <is>
          <t>UO2</t>
        </is>
      </c>
      <c r="E7" s="3" t="inlineStr">
        <is>
          <t>Intermediate Type M/S</t>
        </is>
      </c>
      <c r="F7" s="3" t="inlineStr">
        <is>
          <t>U_235</t>
        </is>
      </c>
      <c r="G7" s="3" t="inlineStr">
        <is>
          <t>5.00</t>
        </is>
      </c>
      <c r="H7" s="3" t="inlineStr">
        <is>
          <t>5.100e-06</t>
        </is>
      </c>
      <c r="I7" s="3" t="inlineStr">
        <is>
          <t>1.7112e-02</t>
        </is>
      </c>
      <c r="J7" s="3" t="inlineStr">
        <is>
          <t>8.3781e-07</t>
        </is>
      </c>
    </row>
    <row r="8">
      <c r="A8" s="3" t="inlineStr">
        <is>
          <t>2</t>
        </is>
      </c>
      <c r="B8" s="3" t="inlineStr">
        <is>
          <t>多模态拟合法（单峰）</t>
        </is>
      </c>
      <c r="C8" s="3" t="inlineStr">
        <is>
          <t>无防护</t>
        </is>
      </c>
      <c r="D8" s="3" t="inlineStr">
        <is>
          <t>U3O8</t>
        </is>
      </c>
      <c r="E8" s="3" t="inlineStr">
        <is>
          <t>Intermediate Type M/S</t>
        </is>
      </c>
      <c r="F8" s="3" t="inlineStr">
        <is>
          <t>U_238</t>
        </is>
      </c>
      <c r="G8" s="3" t="inlineStr">
        <is>
          <t>15.62</t>
        </is>
      </c>
      <c r="H8" s="3" t="inlineStr">
        <is>
          <t>2.064e-06</t>
        </is>
      </c>
      <c r="I8" s="3" t="inlineStr">
        <is>
          <t>2.7387e-01</t>
        </is>
      </c>
      <c r="J8" s="3" t="inlineStr">
        <is>
          <t>5.4253e-06</t>
        </is>
      </c>
    </row>
    <row r="9">
      <c r="A9" s="3" t="inlineStr">
        <is>
          <t>2</t>
        </is>
      </c>
      <c r="B9" s="3" t="inlineStr">
        <is>
          <t>多模态拟合法（单峰）</t>
        </is>
      </c>
      <c r="C9" s="3" t="inlineStr">
        <is>
          <t>无防护</t>
        </is>
      </c>
      <c r="D9" s="3" t="inlineStr">
        <is>
          <t>U3O8</t>
        </is>
      </c>
      <c r="E9" s="3" t="inlineStr">
        <is>
          <t>Intermediate Type M/S</t>
        </is>
      </c>
      <c r="F9" s="3" t="inlineStr">
        <is>
          <t>U_235</t>
        </is>
      </c>
      <c r="G9" s="3" t="inlineStr">
        <is>
          <t>15.62</t>
        </is>
      </c>
      <c r="H9" s="3" t="inlineStr">
        <is>
          <t>2.199e-06</t>
        </is>
      </c>
      <c r="I9" s="3" t="inlineStr">
        <is>
          <t>4.8330e-02</t>
        </is>
      </c>
      <c r="J9" s="3" t="inlineStr">
        <is>
          <t>1.0203e-06</t>
        </is>
      </c>
    </row>
    <row r="10">
      <c r="A10" s="3" t="inlineStr">
        <is>
          <t>2</t>
        </is>
      </c>
      <c r="B10" s="3" t="inlineStr">
        <is>
          <t>多模态拟合法（单峰）</t>
        </is>
      </c>
      <c r="C10" s="3" t="inlineStr">
        <is>
          <t>无防护</t>
        </is>
      </c>
      <c r="D10" s="3" t="inlineStr">
        <is>
          <t>UO2</t>
        </is>
      </c>
      <c r="E10" s="3" t="inlineStr">
        <is>
          <t>Intermediate Type M/S</t>
        </is>
      </c>
      <c r="F10" s="3" t="inlineStr">
        <is>
          <t>U_238</t>
        </is>
      </c>
      <c r="G10" s="3" t="inlineStr">
        <is>
          <t>15.62</t>
        </is>
      </c>
      <c r="H10" s="3" t="inlineStr">
        <is>
          <t>2.064e-06</t>
        </is>
      </c>
      <c r="I10" s="3" t="inlineStr">
        <is>
          <t>2.2407e-01</t>
        </is>
      </c>
      <c r="J10" s="3" t="inlineStr">
        <is>
          <t>4.4389e-06</t>
        </is>
      </c>
    </row>
    <row r="11">
      <c r="A11" s="3" t="inlineStr">
        <is>
          <t>2</t>
        </is>
      </c>
      <c r="B11" s="3" t="inlineStr">
        <is>
          <t>多模态拟合法（单峰）</t>
        </is>
      </c>
      <c r="C11" s="3" t="inlineStr">
        <is>
          <t>无防护</t>
        </is>
      </c>
      <c r="D11" s="3" t="inlineStr">
        <is>
          <t>UO2</t>
        </is>
      </c>
      <c r="E11" s="3" t="inlineStr">
        <is>
          <t>Intermediate Type M/S</t>
        </is>
      </c>
      <c r="F11" s="3" t="inlineStr">
        <is>
          <t>U_235</t>
        </is>
      </c>
      <c r="G11" s="3" t="inlineStr">
        <is>
          <t>15.62</t>
        </is>
      </c>
      <c r="H11" s="3" t="inlineStr">
        <is>
          <t>2.199e-06</t>
        </is>
      </c>
      <c r="I11" s="3" t="inlineStr">
        <is>
          <t>3.9543e-02</t>
        </is>
      </c>
      <c r="J11" s="3" t="inlineStr">
        <is>
          <t>8.3483e-07</t>
        </is>
      </c>
    </row>
    <row r="12">
      <c r="A12" s="3" t="inlineStr">
        <is>
          <t>3</t>
        </is>
      </c>
      <c r="B12" s="3" t="inlineStr">
        <is>
          <t>多模态拟合法（双峰）</t>
        </is>
      </c>
      <c r="C12" s="3" t="inlineStr">
        <is>
          <t>无防护</t>
        </is>
      </c>
      <c r="D12" s="3" t="inlineStr">
        <is>
          <t>U3O8</t>
        </is>
      </c>
      <c r="E12" s="3" t="inlineStr">
        <is>
          <t>Intermediate Type M/S</t>
        </is>
      </c>
      <c r="F12" s="3" t="inlineStr">
        <is>
          <t>U_238</t>
        </is>
      </c>
      <c r="G12" s="3" t="inlineStr">
        <is>
          <t>峰1:15.78 / 峰2:0.96</t>
        </is>
      </c>
      <c r="H12" s="3" t="inlineStr">
        <is>
          <t>逐级</t>
        </is>
      </c>
      <c r="I12" s="3" t="inlineStr">
        <is>
          <t>2.5047e-01</t>
        </is>
      </c>
      <c r="J12" s="3" t="inlineStr">
        <is>
          <t>5.3810e-06</t>
        </is>
      </c>
    </row>
    <row r="13">
      <c r="A13" s="3" t="inlineStr">
        <is>
          <t>3</t>
        </is>
      </c>
      <c r="B13" s="3" t="inlineStr">
        <is>
          <t>多模态拟合法（双峰）</t>
        </is>
      </c>
      <c r="C13" s="3" t="inlineStr">
        <is>
          <t>无防护</t>
        </is>
      </c>
      <c r="D13" s="3" t="inlineStr">
        <is>
          <t>U3O8</t>
        </is>
      </c>
      <c r="E13" s="3" t="inlineStr">
        <is>
          <t>Intermediate Type M/S</t>
        </is>
      </c>
      <c r="F13" s="3" t="inlineStr">
        <is>
          <t>U_235</t>
        </is>
      </c>
      <c r="G13" s="3" t="inlineStr">
        <is>
          <t>峰1:15.78 / 峰2:0.96</t>
        </is>
      </c>
      <c r="H13" s="3" t="inlineStr">
        <is>
          <t>逐级</t>
        </is>
      </c>
      <c r="I13" s="3" t="inlineStr">
        <is>
          <t>4.4200e-02</t>
        </is>
      </c>
      <c r="J13" s="3" t="inlineStr">
        <is>
          <t>1.0104e-06</t>
        </is>
      </c>
    </row>
    <row r="14">
      <c r="A14" s="3" t="inlineStr">
        <is>
          <t>3</t>
        </is>
      </c>
      <c r="B14" s="3" t="inlineStr">
        <is>
          <t>多模态拟合法（双峰）</t>
        </is>
      </c>
      <c r="C14" s="3" t="inlineStr">
        <is>
          <t>无防护</t>
        </is>
      </c>
      <c r="D14" s="3" t="inlineStr">
        <is>
          <t>UO2</t>
        </is>
      </c>
      <c r="E14" s="3" t="inlineStr">
        <is>
          <t>Intermediate Type M/S</t>
        </is>
      </c>
      <c r="F14" s="3" t="inlineStr">
        <is>
          <t>U_238</t>
        </is>
      </c>
      <c r="G14" s="3" t="inlineStr">
        <is>
          <t>峰1:15.78 / 峰2:0.96</t>
        </is>
      </c>
      <c r="H14" s="3" t="inlineStr">
        <is>
          <t>逐级</t>
        </is>
      </c>
      <c r="I14" s="3" t="inlineStr">
        <is>
          <t>2.0493e-01</t>
        </is>
      </c>
      <c r="J14" s="3" t="inlineStr">
        <is>
          <t>4.4027e-06</t>
        </is>
      </c>
    </row>
    <row r="15">
      <c r="A15" s="3" t="inlineStr">
        <is>
          <t>3</t>
        </is>
      </c>
      <c r="B15" s="3" t="inlineStr">
        <is>
          <t>多模态拟合法（双峰）</t>
        </is>
      </c>
      <c r="C15" s="3" t="inlineStr">
        <is>
          <t>无防护</t>
        </is>
      </c>
      <c r="D15" s="3" t="inlineStr">
        <is>
          <t>UO2</t>
        </is>
      </c>
      <c r="E15" s="3" t="inlineStr">
        <is>
          <t>Intermediate Type M/S</t>
        </is>
      </c>
      <c r="F15" s="3" t="inlineStr">
        <is>
          <t>U_235</t>
        </is>
      </c>
      <c r="G15" s="3" t="inlineStr">
        <is>
          <t>峰1:15.78 / 峰2:0.96</t>
        </is>
      </c>
      <c r="H15" s="3" t="inlineStr">
        <is>
          <t>逐级</t>
        </is>
      </c>
      <c r="I15" s="3" t="inlineStr">
        <is>
          <t>3.6164e-02</t>
        </is>
      </c>
      <c r="J15" s="3" t="inlineStr">
        <is>
          <t>8.2672e-07</t>
        </is>
      </c>
    </row>
    <row r="16">
      <c r="A16" s="3" t="inlineStr">
        <is>
          <t>4</t>
        </is>
      </c>
      <c r="B16" s="3" t="inlineStr">
        <is>
          <t>正态概率图法</t>
        </is>
      </c>
      <c r="C16" s="3" t="inlineStr">
        <is>
          <t>无防护</t>
        </is>
      </c>
      <c r="D16" s="3" t="inlineStr">
        <is>
          <t>U3O8</t>
        </is>
      </c>
      <c r="E16" s="3" t="inlineStr">
        <is>
          <t>Intermediate Type M/S</t>
        </is>
      </c>
      <c r="F16" s="3" t="inlineStr">
        <is>
          <t>U_238</t>
        </is>
      </c>
      <c r="G16" s="3" t="inlineStr">
        <is>
          <t>12.78</t>
        </is>
      </c>
      <c r="H16" s="3" t="inlineStr">
        <is>
          <t>2.440e-06</t>
        </is>
      </c>
      <c r="I16" s="3" t="inlineStr">
        <is>
          <t>1.7458e-01</t>
        </is>
      </c>
      <c r="J16" s="3" t="inlineStr">
        <is>
          <t>4.0891e-06</t>
        </is>
      </c>
    </row>
    <row r="17">
      <c r="A17" s="3" t="inlineStr">
        <is>
          <t>4</t>
        </is>
      </c>
      <c r="B17" s="3" t="inlineStr">
        <is>
          <t>正态概率图法</t>
        </is>
      </c>
      <c r="C17" s="3" t="inlineStr">
        <is>
          <t>无防护</t>
        </is>
      </c>
      <c r="D17" s="3" t="inlineStr">
        <is>
          <t>U3O8</t>
        </is>
      </c>
      <c r="E17" s="3" t="inlineStr">
        <is>
          <t>Intermediate Type M/S</t>
        </is>
      </c>
      <c r="F17" s="3" t="inlineStr">
        <is>
          <t>U_235</t>
        </is>
      </c>
      <c r="G17" s="3" t="inlineStr">
        <is>
          <t>12.78</t>
        </is>
      </c>
      <c r="H17" s="3" t="inlineStr">
        <is>
          <t>2.604e-06</t>
        </is>
      </c>
      <c r="I17" s="3" t="inlineStr">
        <is>
          <t>3.0809e-02</t>
        </is>
      </c>
      <c r="J17" s="3" t="inlineStr">
        <is>
          <t>7.7028e-07</t>
        </is>
      </c>
    </row>
    <row r="18">
      <c r="A18" s="3" t="inlineStr">
        <is>
          <t>4</t>
        </is>
      </c>
      <c r="B18" s="3" t="inlineStr">
        <is>
          <t>正态概率图法</t>
        </is>
      </c>
      <c r="C18" s="3" t="inlineStr">
        <is>
          <t>无防护</t>
        </is>
      </c>
      <c r="D18" s="3" t="inlineStr">
        <is>
          <t>UO2</t>
        </is>
      </c>
      <c r="E18" s="3" t="inlineStr">
        <is>
          <t>Intermediate Type M/S</t>
        </is>
      </c>
      <c r="F18" s="3" t="inlineStr">
        <is>
          <t>U_238</t>
        </is>
      </c>
      <c r="G18" s="3" t="inlineStr">
        <is>
          <t>12.78</t>
        </is>
      </c>
      <c r="H18" s="3" t="inlineStr">
        <is>
          <t>2.440e-06</t>
        </is>
      </c>
      <c r="I18" s="3" t="inlineStr">
        <is>
          <t>1.4284e-01</t>
        </is>
      </c>
      <c r="J18" s="3" t="inlineStr">
        <is>
          <t>3.3456e-06</t>
        </is>
      </c>
    </row>
    <row r="19">
      <c r="A19" s="3" t="inlineStr">
        <is>
          <t>4</t>
        </is>
      </c>
      <c r="B19" s="3" t="inlineStr">
        <is>
          <t>正态概率图法</t>
        </is>
      </c>
      <c r="C19" s="3" t="inlineStr">
        <is>
          <t>无防护</t>
        </is>
      </c>
      <c r="D19" s="3" t="inlineStr">
        <is>
          <t>UO2</t>
        </is>
      </c>
      <c r="E19" s="3" t="inlineStr">
        <is>
          <t>Intermediate Type M/S</t>
        </is>
      </c>
      <c r="F19" s="3" t="inlineStr">
        <is>
          <t>U_235</t>
        </is>
      </c>
      <c r="G19" s="3" t="inlineStr">
        <is>
          <t>12.78</t>
        </is>
      </c>
      <c r="H19" s="3" t="inlineStr">
        <is>
          <t>2.604e-06</t>
        </is>
      </c>
      <c r="I19" s="3" t="inlineStr">
        <is>
          <t>2.5207e-02</t>
        </is>
      </c>
      <c r="J19" s="3" t="inlineStr">
        <is>
          <t>6.3023e-07</t>
        </is>
      </c>
    </row>
    <row r="20">
      <c r="A20" s="3" t="inlineStr">
        <is>
          <t>5</t>
        </is>
      </c>
      <c r="B20" s="3" t="inlineStr">
        <is>
          <t>逐级独立法</t>
        </is>
      </c>
      <c r="C20" s="3" t="inlineStr">
        <is>
          <t>无防护</t>
        </is>
      </c>
      <c r="D20" s="3" t="inlineStr">
        <is>
          <t>U3O8</t>
        </is>
      </c>
      <c r="E20" s="3" t="inlineStr">
        <is>
          <t>Intermediate Type M/S</t>
        </is>
      </c>
      <c r="F20" s="3" t="inlineStr">
        <is>
          <t>U_238</t>
        </is>
      </c>
      <c r="G20" s="3" t="inlineStr">
        <is>
          <t>逐级</t>
        </is>
      </c>
      <c r="H20" s="3" t="inlineStr">
        <is>
          <t>逐级</t>
        </is>
      </c>
      <c r="I20" s="3" t="inlineStr">
        <is>
          <t>1.2908e+00</t>
        </is>
      </c>
      <c r="J20" s="3" t="inlineStr">
        <is>
          <t>4.0015e-05</t>
        </is>
      </c>
    </row>
    <row r="21">
      <c r="A21" s="3" t="inlineStr">
        <is>
          <t>5</t>
        </is>
      </c>
      <c r="B21" s="3" t="inlineStr">
        <is>
          <t>逐级独立法</t>
        </is>
      </c>
      <c r="C21" s="3" t="inlineStr">
        <is>
          <t>无防护</t>
        </is>
      </c>
      <c r="D21" s="3" t="inlineStr">
        <is>
          <t>U3O8</t>
        </is>
      </c>
      <c r="E21" s="3" t="inlineStr">
        <is>
          <t>Intermediate Type M/S</t>
        </is>
      </c>
      <c r="F21" s="3" t="inlineStr">
        <is>
          <t>U_235</t>
        </is>
      </c>
      <c r="G21" s="3" t="inlineStr">
        <is>
          <t>逐级</t>
        </is>
      </c>
      <c r="H21" s="3" t="inlineStr">
        <is>
          <t>逐级</t>
        </is>
      </c>
      <c r="I21" s="3" t="inlineStr">
        <is>
          <t>2.2778e-01</t>
        </is>
      </c>
      <c r="J21" s="3" t="inlineStr">
        <is>
          <t>7.4411e-06</t>
        </is>
      </c>
    </row>
    <row r="22">
      <c r="A22" s="3" t="inlineStr">
        <is>
          <t>5</t>
        </is>
      </c>
      <c r="B22" s="3" t="inlineStr">
        <is>
          <t>逐级独立法</t>
        </is>
      </c>
      <c r="C22" s="3" t="inlineStr">
        <is>
          <t>无防护</t>
        </is>
      </c>
      <c r="D22" s="3" t="inlineStr">
        <is>
          <t>UO2</t>
        </is>
      </c>
      <c r="E22" s="3" t="inlineStr">
        <is>
          <t>Intermediate Type M/S</t>
        </is>
      </c>
      <c r="F22" s="3" t="inlineStr">
        <is>
          <t>U_238</t>
        </is>
      </c>
      <c r="G22" s="3" t="inlineStr">
        <is>
          <t>逐级</t>
        </is>
      </c>
      <c r="H22" s="3" t="inlineStr">
        <is>
          <t>逐级</t>
        </is>
      </c>
      <c r="I22" s="3" t="inlineStr">
        <is>
          <t>1.0561e+00</t>
        </is>
      </c>
      <c r="J22" s="3" t="inlineStr">
        <is>
          <t>3.2739e-05</t>
        </is>
      </c>
    </row>
    <row r="23">
      <c r="A23" s="3" t="inlineStr">
        <is>
          <t>5</t>
        </is>
      </c>
      <c r="B23" s="3" t="inlineStr">
        <is>
          <t>逐级独立法</t>
        </is>
      </c>
      <c r="C23" s="3" t="inlineStr">
        <is>
          <t>无防护</t>
        </is>
      </c>
      <c r="D23" s="3" t="inlineStr">
        <is>
          <t>UO2</t>
        </is>
      </c>
      <c r="E23" s="3" t="inlineStr">
        <is>
          <t>Intermediate Type M/S</t>
        </is>
      </c>
      <c r="F23" s="3" t="inlineStr">
        <is>
          <t>U_235</t>
        </is>
      </c>
      <c r="G23" s="3" t="inlineStr">
        <is>
          <t>逐级</t>
        </is>
      </c>
      <c r="H23" s="3" t="inlineStr">
        <is>
          <t>逐级</t>
        </is>
      </c>
      <c r="I23" s="3" t="inlineStr">
        <is>
          <t>1.8637e-01</t>
        </is>
      </c>
      <c r="J23" s="3" t="inlineStr">
        <is>
          <t>6.0882e-06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</cols>
  <sheetData>
    <row r="3">
      <c r="A3" s="2" t="inlineStr">
        <is>
          <t>级别</t>
        </is>
      </c>
      <c r="B3" s="2" t="inlineStr">
        <is>
          <t>粒径范围</t>
        </is>
      </c>
      <c r="C3" s="2" t="inlineStr">
        <is>
          <t>原始浓度 (Bq/m³)</t>
        </is>
      </c>
      <c r="D3" s="2" t="inlineStr">
        <is>
          <t>校正后浓度 (Bq/m³)</t>
        </is>
      </c>
    </row>
    <row r="4">
      <c r="A4" s="3" t="inlineStr">
        <is>
          <t>A</t>
        </is>
      </c>
      <c r="B4" s="3" t="inlineStr">
        <is>
          <t>14.8–21.3 μm</t>
        </is>
      </c>
      <c r="C4" s="3" t="inlineStr">
        <is>
          <t>4.600000e-01</t>
        </is>
      </c>
      <c r="D4" s="3" t="inlineStr">
        <is>
          <t>4.600000e-01</t>
        </is>
      </c>
    </row>
    <row r="5">
      <c r="A5" s="3" t="inlineStr">
        <is>
          <t>B</t>
        </is>
      </c>
      <c r="B5" s="3" t="inlineStr">
        <is>
          <t>9.8–14.8 μm</t>
        </is>
      </c>
      <c r="C5" s="3" t="inlineStr">
        <is>
          <t>6.400000e-01</t>
        </is>
      </c>
      <c r="D5" s="3" t="inlineStr">
        <is>
          <t>6.400000e-01</t>
        </is>
      </c>
    </row>
    <row r="6">
      <c r="A6" s="3" t="inlineStr">
        <is>
          <t>C</t>
        </is>
      </c>
      <c r="B6" s="3" t="inlineStr">
        <is>
          <t>6.0–9.8 μm</t>
        </is>
      </c>
      <c r="C6" s="3" t="inlineStr">
        <is>
          <t>7.500000e-01</t>
        </is>
      </c>
      <c r="D6" s="3" t="inlineStr">
        <is>
          <t>7.500000e-01</t>
        </is>
      </c>
    </row>
    <row r="7">
      <c r="A7" s="3" t="inlineStr">
        <is>
          <t>D</t>
        </is>
      </c>
      <c r="B7" s="3" t="inlineStr">
        <is>
          <t>3.5–6.0 μm</t>
        </is>
      </c>
      <c r="C7" s="3" t="inlineStr">
        <is>
          <t>4.600000e-01</t>
        </is>
      </c>
      <c r="D7" s="3" t="inlineStr">
        <is>
          <t>4.600000e-01</t>
        </is>
      </c>
    </row>
    <row r="8">
      <c r="A8" s="3" t="inlineStr">
        <is>
          <t>E</t>
        </is>
      </c>
      <c r="B8" s="3" t="inlineStr">
        <is>
          <t>1.6–3.5 μm</t>
        </is>
      </c>
      <c r="C8" s="3" t="inlineStr">
        <is>
          <t>1.550000e-01</t>
        </is>
      </c>
      <c r="D8" s="3" t="inlineStr">
        <is>
          <t>1.550000e-01</t>
        </is>
      </c>
    </row>
    <row r="9">
      <c r="A9" s="3" t="inlineStr">
        <is>
          <t>F</t>
        </is>
      </c>
      <c r="B9" s="3" t="inlineStr">
        <is>
          <t>0.9–1.6 μm</t>
        </is>
      </c>
      <c r="C9" s="3" t="inlineStr">
        <is>
          <t>7.800000e-02</t>
        </is>
      </c>
      <c r="D9" s="3" t="inlineStr">
        <is>
          <t>7.800000e-02</t>
        </is>
      </c>
    </row>
    <row r="10">
      <c r="A10" s="3" t="inlineStr">
        <is>
          <t>G</t>
        </is>
      </c>
      <c r="B10" s="3" t="inlineStr">
        <is>
          <t>0.5–0.9 μm</t>
        </is>
      </c>
      <c r="C10" s="3" t="inlineStr">
        <is>
          <t>4.200000e-02</t>
        </is>
      </c>
      <c r="D10" s="3" t="inlineStr">
        <is>
          <t>4.200000e-02</t>
        </is>
      </c>
    </row>
    <row r="11">
      <c r="A11" s="3" t="inlineStr">
        <is>
          <t>H</t>
        </is>
      </c>
      <c r="B11" s="3" t="inlineStr">
        <is>
          <t>0.1–0.5 μm</t>
        </is>
      </c>
      <c r="C11" s="3" t="inlineStr">
        <is>
          <t>2.900000e-02</t>
        </is>
      </c>
      <c r="D11" s="3" t="inlineStr">
        <is>
          <t>2.900000e-02</t>
        </is>
      </c>
    </row>
    <row r="12">
      <c r="A12" s="3" t="inlineStr">
        <is>
          <t>Filter</t>
        </is>
      </c>
      <c r="B12" s="3" t="inlineStr">
        <is>
          <t>&lt; 0.1 μm</t>
        </is>
      </c>
      <c r="C12" s="3" t="inlineStr">
        <is>
          <t>1.470000e-01</t>
        </is>
      </c>
      <c r="D12" s="3" t="inlineStr">
        <is>
          <t>1.470000e-01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3">
      <c r="A3" s="4" t="inlineStr"/>
    </row>
    <row r="4">
      <c r="A4" s="4">
        <f>===========================================================</f>
        <v/>
      </c>
    </row>
    <row r="5">
      <c r="A5" s="4" t="inlineStr">
        <is>
          <t xml:space="preserve">  第 1 次计算  方法: 国标单AMAD法</t>
        </is>
      </c>
    </row>
    <row r="6">
      <c r="A6" s="4">
        <f>===========================================================</f>
        <v/>
      </c>
    </row>
    <row r="7">
      <c r="A7" s="4">
        <f>==== 计算开始 =====</f>
        <v/>
      </c>
    </row>
    <row r="8">
      <c r="A8" s="4" t="inlineStr">
        <is>
          <t>方法: std  口罩: 无防护  BR=1.2 m³/h  T=8.0 h</t>
        </is>
      </c>
    </row>
    <row r="9">
      <c r="A9" s="4" t="inlineStr">
        <is>
          <t>原始总浓度: 2.7610e+00 Bq/m³  校正后: 2.7610e+00 Bq/m³  防护因子: 1.0000</t>
        </is>
      </c>
    </row>
    <row r="10">
      <c r="A10" s="4" t="inlineStr">
        <is>
          <t>使用国标法：AMAD = 5 μm（固定）</t>
        </is>
      </c>
    </row>
    <row r="11">
      <c r="A11" s="4" t="inlineStr"/>
    </row>
    <row r="12">
      <c r="A12" s="4" t="inlineStr">
        <is>
          <t>--- 化合物: U3O8  气溶胶: Intermediate Type M/S  活度比例: 0.550 ---</t>
        </is>
      </c>
    </row>
    <row r="13">
      <c r="A13" s="4" t="inlineStr">
        <is>
          <t xml:space="preserve">  核素: U_238  丰度: 0.8500</t>
        </is>
      </c>
    </row>
    <row r="14">
      <c r="A14" s="4" t="inlineStr">
        <is>
          <t xml:space="preserve">  化合物: U3O8 → Uranium octoxide, uranium dioxide (气溶胶: Intermediate Type M/S)</t>
        </is>
      </c>
    </row>
    <row r="15">
      <c r="A15" s="4" t="inlineStr">
        <is>
          <t xml:space="preserve">  AMAD=5.00μm  e=4.800e-06  C=1.185e-01  D=5.461e-06 Sv</t>
        </is>
      </c>
    </row>
    <row r="16">
      <c r="A16" s="4" t="inlineStr">
        <is>
          <t xml:space="preserve">  核素: U_235  丰度: 0.1500</t>
        </is>
      </c>
    </row>
    <row r="17">
      <c r="A17" s="4" t="inlineStr">
        <is>
          <t xml:space="preserve">  化合物: U3O8 → Uranium octoxide, uranium dioxide (气溶胶: Intermediate Type M/S)</t>
        </is>
      </c>
    </row>
    <row r="18">
      <c r="A18" s="4" t="inlineStr">
        <is>
          <t xml:space="preserve">  AMAD=5.00μm  e=5.100e-06  C=2.091e-02  D=1.024e-06 Sv</t>
        </is>
      </c>
    </row>
    <row r="19">
      <c r="A19" s="4" t="inlineStr"/>
    </row>
    <row r="20">
      <c r="A20" s="4" t="inlineStr">
        <is>
          <t>--- 化合物: UO2  气溶胶: Intermediate Type M/S  活度比例: 0.450 ---</t>
        </is>
      </c>
    </row>
    <row r="21">
      <c r="A21" s="4" t="inlineStr">
        <is>
          <t xml:space="preserve">  核素: U_238  丰度: 0.8500</t>
        </is>
      </c>
    </row>
    <row r="22">
      <c r="A22" s="4" t="inlineStr">
        <is>
          <t xml:space="preserve">  化合物: UO2 → Uranium octoxide, uranium dioxide (气溶胶: Intermediate Type M/S)</t>
        </is>
      </c>
    </row>
    <row r="23">
      <c r="A23" s="4" t="inlineStr">
        <is>
          <t xml:space="preserve">  AMAD=5.00μm  e=4.800e-06  C=9.697e-02  D=4.468e-06 Sv</t>
        </is>
      </c>
    </row>
    <row r="24">
      <c r="A24" s="4" t="inlineStr">
        <is>
          <t xml:space="preserve">  核素: U_235  丰度: 0.1500</t>
        </is>
      </c>
    </row>
    <row r="25">
      <c r="A25" s="4" t="inlineStr">
        <is>
          <t xml:space="preserve">  化合物: UO2 → Uranium octoxide, uranium dioxide (气溶胶: Intermediate Type M/S)</t>
        </is>
      </c>
    </row>
    <row r="26">
      <c r="A26" s="4" t="inlineStr">
        <is>
          <t xml:space="preserve">  AMAD=5.00μm  e=5.100e-06  C=1.711e-02  D=8.378e-07 Sv</t>
        </is>
      </c>
    </row>
    <row r="27">
      <c r="A27" s="4" t="inlineStr"/>
    </row>
    <row r="28">
      <c r="A28" s="4">
        <f>==== 总有效剂量 = 1.1791e-05 Sv =====</f>
        <v/>
      </c>
    </row>
    <row r="29">
      <c r="A29" s="4" t="inlineStr">
        <is>
          <t>BR = 1.2 m³/h  T = 8.0 h</t>
        </is>
      </c>
    </row>
    <row r="30">
      <c r="A30" s="4" t="inlineStr"/>
    </row>
    <row r="31">
      <c r="A31" s="4">
        <f>===========================================================</f>
        <v/>
      </c>
    </row>
    <row r="32">
      <c r="A32" s="4" t="inlineStr">
        <is>
          <t xml:space="preserve">  第 2 次计算  方法: 多模态拟合法（单峰）</t>
        </is>
      </c>
    </row>
    <row r="33">
      <c r="A33" s="4">
        <f>===========================================================</f>
        <v/>
      </c>
    </row>
    <row r="34">
      <c r="A34" s="4">
        <f>==== 计算开始 =====</f>
        <v/>
      </c>
    </row>
    <row r="35">
      <c r="A35" s="4" t="inlineStr">
        <is>
          <t>方法: modal  口罩: 无防护  BR=1.2 m³/h  T=8.0 h</t>
        </is>
      </c>
    </row>
    <row r="36">
      <c r="A36" s="4" t="inlineStr">
        <is>
          <t>原始总浓度: 2.7610e+00 Bq/m³  校正后: 2.7610e+00 Bq/m³  防护因子: 1.0000</t>
        </is>
      </c>
    </row>
    <row r="37">
      <c r="A37" s="4" t="inlineStr">
        <is>
          <t>拟合单峰…</t>
        </is>
      </c>
    </row>
    <row r="38">
      <c r="A38" s="4" t="inlineStr">
        <is>
          <t xml:space="preserve">  单峰: AMAD=15.620 μm  GSD=1.637</t>
        </is>
      </c>
    </row>
    <row r="39">
      <c r="A39" s="4" t="inlineStr">
        <is>
          <t>拟合双峰…</t>
        </is>
      </c>
    </row>
    <row r="40">
      <c r="A40" s="4" t="inlineStr">
        <is>
          <t xml:space="preserve">  双峰: 粗峰=15.779 μm  细峰=0.956 μm  粗峰占比=0.877</t>
        </is>
      </c>
    </row>
    <row r="41">
      <c r="A41" s="4" t="inlineStr">
        <is>
          <t>正态概率图拟合…</t>
        </is>
      </c>
    </row>
    <row r="42">
      <c r="A42" s="4" t="inlineStr">
        <is>
          <t xml:space="preserve">  正态概率图: AMAD=12.781 μm  GSD=4.996  R²=0.8098</t>
        </is>
      </c>
    </row>
    <row r="43">
      <c r="A43" s="4" t="inlineStr">
        <is>
          <t xml:space="preserve">  AIC: 单峰=-42.3  双峰=-49.6  |  BIC: 单峰=-41.7  双峰=-48.4</t>
        </is>
      </c>
    </row>
    <row r="44">
      <c r="A44" s="4" t="inlineStr">
        <is>
          <t xml:space="preserve">  数据质量: good（非零级数=9/9）</t>
        </is>
      </c>
    </row>
    <row r="45">
      <c r="A45" s="4" t="inlineStr">
        <is>
          <t>参考推荐方法（仅供参考，实际使用用户选定峰型）: Bimodal (Recommended)</t>
        </is>
      </c>
    </row>
    <row r="46">
      <c r="A46" s="4" t="inlineStr">
        <is>
          <t>用户选定峰型: 单峰</t>
        </is>
      </c>
    </row>
    <row r="47">
      <c r="A47" s="4" t="inlineStr">
        <is>
          <t xml:space="preserve">  [单峰模式] 使用单峰 AMAD=15.620 μm</t>
        </is>
      </c>
    </row>
    <row r="48">
      <c r="A48" s="4" t="inlineStr"/>
    </row>
    <row r="49">
      <c r="A49" s="4" t="inlineStr">
        <is>
          <t>--- 化合物: U3O8  气溶胶: Intermediate Type M/S  活度比例: 0.550 ---</t>
        </is>
      </c>
    </row>
    <row r="50">
      <c r="A50" s="4" t="inlineStr">
        <is>
          <t xml:space="preserve">  核素: U_238  丰度: 0.8500</t>
        </is>
      </c>
    </row>
    <row r="51">
      <c r="A51" s="4" t="inlineStr">
        <is>
          <t xml:space="preserve">  化合物: U3O8 → Uranium octoxide, uranium dioxide (气溶胶: Intermediate Type M/S)</t>
        </is>
      </c>
    </row>
    <row r="52">
      <c r="A52" s="4" t="inlineStr">
        <is>
          <t xml:space="preserve">  AMAD=15.62μm  e=2.064e-06  C=2.739e-01  D=5.425e-06 Sv</t>
        </is>
      </c>
    </row>
    <row r="53">
      <c r="A53" s="4" t="inlineStr">
        <is>
          <t xml:space="preserve">  核素: U_235  丰度: 0.1500</t>
        </is>
      </c>
    </row>
    <row r="54">
      <c r="A54" s="4" t="inlineStr">
        <is>
          <t xml:space="preserve">  化合物: U3O8 → Uranium octoxide, uranium dioxide (气溶胶: Intermediate Type M/S)</t>
        </is>
      </c>
    </row>
    <row r="55">
      <c r="A55" s="4" t="inlineStr">
        <is>
          <t xml:space="preserve">  AMAD=15.62μm  e=2.199e-06  C=4.833e-02  D=1.020e-06 Sv</t>
        </is>
      </c>
    </row>
    <row r="56">
      <c r="A56" s="4" t="inlineStr"/>
    </row>
    <row r="57">
      <c r="A57" s="4" t="inlineStr">
        <is>
          <t>--- 化合物: UO2  气溶胶: Intermediate Type M/S  活度比例: 0.450 ---</t>
        </is>
      </c>
    </row>
    <row r="58">
      <c r="A58" s="4" t="inlineStr">
        <is>
          <t xml:space="preserve">  核素: U_238  丰度: 0.8500</t>
        </is>
      </c>
    </row>
    <row r="59">
      <c r="A59" s="4" t="inlineStr">
        <is>
          <t xml:space="preserve">  化合物: UO2 → Uranium octoxide, uranium dioxide (气溶胶: Intermediate Type M/S)</t>
        </is>
      </c>
    </row>
    <row r="60">
      <c r="A60" s="4" t="inlineStr">
        <is>
          <t xml:space="preserve">  AMAD=15.62μm  e=2.064e-06  C=2.241e-01  D=4.439e-06 Sv</t>
        </is>
      </c>
    </row>
    <row r="61">
      <c r="A61" s="4" t="inlineStr">
        <is>
          <t xml:space="preserve">  核素: U_235  丰度: 0.1500</t>
        </is>
      </c>
    </row>
    <row r="62">
      <c r="A62" s="4" t="inlineStr">
        <is>
          <t xml:space="preserve">  化合物: UO2 → Uranium octoxide, uranium dioxide (气溶胶: Intermediate Type M/S)</t>
        </is>
      </c>
    </row>
    <row r="63">
      <c r="A63" s="4" t="inlineStr">
        <is>
          <t xml:space="preserve">  AMAD=15.62μm  e=2.199e-06  C=3.954e-02  D=8.348e-07 Sv</t>
        </is>
      </c>
    </row>
    <row r="64">
      <c r="A64" s="4" t="inlineStr"/>
    </row>
    <row r="65">
      <c r="A65" s="4">
        <f>==== 总有效剂量 = 1.1719e-05 Sv =====</f>
        <v/>
      </c>
    </row>
    <row r="66">
      <c r="A66" s="4" t="inlineStr">
        <is>
          <t>BR = 1.2 m³/h  T = 8.0 h</t>
        </is>
      </c>
    </row>
    <row r="67">
      <c r="A67" s="4" t="inlineStr"/>
    </row>
    <row r="68">
      <c r="A68" s="4">
        <f>===========================================================</f>
        <v/>
      </c>
    </row>
    <row r="69">
      <c r="A69" s="4" t="inlineStr">
        <is>
          <t xml:space="preserve">  第 3 次计算  方法: 多模态拟合法（双峰）</t>
        </is>
      </c>
    </row>
    <row r="70">
      <c r="A70" s="4">
        <f>===========================================================</f>
        <v/>
      </c>
    </row>
    <row r="71">
      <c r="A71" s="4">
        <f>==== 计算开始 =====</f>
        <v/>
      </c>
    </row>
    <row r="72">
      <c r="A72" s="4" t="inlineStr">
        <is>
          <t>方法: modal  口罩: 无防护  BR=1.2 m³/h  T=8.0 h</t>
        </is>
      </c>
    </row>
    <row r="73">
      <c r="A73" s="4" t="inlineStr">
        <is>
          <t>原始总浓度: 2.7610e+00 Bq/m³  校正后: 2.7610e+00 Bq/m³  防护因子: 1.0000</t>
        </is>
      </c>
    </row>
    <row r="74">
      <c r="A74" s="4" t="inlineStr">
        <is>
          <t>拟合单峰…</t>
        </is>
      </c>
    </row>
    <row r="75">
      <c r="A75" s="4" t="inlineStr">
        <is>
          <t xml:space="preserve">  单峰: AMAD=15.620 μm  GSD=1.637</t>
        </is>
      </c>
    </row>
    <row r="76">
      <c r="A76" s="4" t="inlineStr">
        <is>
          <t>拟合双峰…</t>
        </is>
      </c>
    </row>
    <row r="77">
      <c r="A77" s="4" t="inlineStr">
        <is>
          <t xml:space="preserve">  双峰: 粗峰=15.779 μm  细峰=0.956 μm  粗峰占比=0.877</t>
        </is>
      </c>
    </row>
    <row r="78">
      <c r="A78" s="4" t="inlineStr">
        <is>
          <t>正态概率图拟合…</t>
        </is>
      </c>
    </row>
    <row r="79">
      <c r="A79" s="4" t="inlineStr">
        <is>
          <t xml:space="preserve">  正态概率图: AMAD=12.781 μm  GSD=4.996  R²=0.8098</t>
        </is>
      </c>
    </row>
    <row r="80">
      <c r="A80" s="4" t="inlineStr">
        <is>
          <t xml:space="preserve">  AIC: 单峰=-42.3  双峰=-49.6  |  BIC: 单峰=-41.7  双峰=-48.4</t>
        </is>
      </c>
    </row>
    <row r="81">
      <c r="A81" s="4" t="inlineStr">
        <is>
          <t xml:space="preserve">  数据质量: good（非零级数=9/9）</t>
        </is>
      </c>
    </row>
    <row r="82">
      <c r="A82" s="4" t="inlineStr">
        <is>
          <t>参考推荐方法（仅供参考，实际使用用户选定峰型）: Bimodal (Recommended)</t>
        </is>
      </c>
    </row>
    <row r="83">
      <c r="A83" s="4" t="inlineStr">
        <is>
          <t>用户选定峰型: 双峰</t>
        </is>
      </c>
    </row>
    <row r="84">
      <c r="A84" s="4" t="inlineStr">
        <is>
          <t xml:space="preserve">  [双峰模式] 使用粗峰 AMAD=15.779 μm 作为代表粒径</t>
        </is>
      </c>
    </row>
    <row r="85">
      <c r="A85" s="4" t="inlineStr"/>
    </row>
    <row r="86">
      <c r="A86" s="4" t="inlineStr">
        <is>
          <t>--- 化合物: U3O8  气溶胶: Intermediate Type M/S  活度比例: 0.550 ---</t>
        </is>
      </c>
    </row>
    <row r="87">
      <c r="A87" s="4" t="inlineStr">
        <is>
          <t xml:space="preserve">  核素: U_238  丰度: 0.8500</t>
        </is>
      </c>
    </row>
    <row r="88">
      <c r="A88" s="4" t="inlineStr">
        <is>
          <t xml:space="preserve">  化合物: U3O8 → Uranium octoxide, uranium dioxide (气溶胶: Intermediate Type M/S)</t>
        </is>
      </c>
    </row>
    <row r="89">
      <c r="A89" s="4" t="inlineStr">
        <is>
          <t xml:space="preserve">  双峰峰1(AMAD=15.78μm) C=2.416e-01 e=2.04e-06 D=4.742e-06 Sv</t>
        </is>
      </c>
    </row>
    <row r="90">
      <c r="A90" s="4" t="inlineStr">
        <is>
          <t xml:space="preserve">  双峰峰2(AMAD=0.96μm) C=8.894e-03 e=7.49e-06 D=6.394e-07 Sv</t>
        </is>
      </c>
    </row>
    <row r="91">
      <c r="A91" s="4" t="inlineStr">
        <is>
          <t xml:space="preserve">  合计: 5.381e-06 Sv</t>
        </is>
      </c>
    </row>
    <row r="92">
      <c r="A92" s="4" t="inlineStr">
        <is>
          <t xml:space="preserve">  核素: U_235  丰度: 0.1500</t>
        </is>
      </c>
    </row>
    <row r="93">
      <c r="A93" s="4" t="inlineStr">
        <is>
          <t xml:space="preserve">  化合物: U3O8 → Uranium octoxide, uranium dioxide (气溶胶: Intermediate Type M/S)</t>
        </is>
      </c>
    </row>
    <row r="94">
      <c r="A94" s="4" t="inlineStr">
        <is>
          <t xml:space="preserve">  双峰峰1(AMAD=15.78μm) C=4.263e-02 e=2.18e-06 D=8.917e-07 Sv</t>
        </is>
      </c>
    </row>
    <row r="95">
      <c r="A95" s="4" t="inlineStr">
        <is>
          <t xml:space="preserve">  双峰峰2(AMAD=0.96μm) C=1.569e-03 e=7.88e-06 D=1.187e-07 Sv</t>
        </is>
      </c>
    </row>
    <row r="96">
      <c r="A96" s="4" t="inlineStr">
        <is>
          <t xml:space="preserve">  合计: 1.010e-06 Sv</t>
        </is>
      </c>
    </row>
    <row r="97">
      <c r="A97" s="4" t="inlineStr"/>
    </row>
    <row r="98">
      <c r="A98" s="4" t="inlineStr">
        <is>
          <t>--- 化合物: UO2  气溶胶: Intermediate Type M/S  活度比例: 0.450 ---</t>
        </is>
      </c>
    </row>
    <row r="99">
      <c r="A99" s="4" t="inlineStr">
        <is>
          <t xml:space="preserve">  核素: U_238  丰度: 0.8500</t>
        </is>
      </c>
    </row>
    <row r="100">
      <c r="A100" s="4" t="inlineStr">
        <is>
          <t xml:space="preserve">  化合物: UO2 → Uranium octoxide, uranium dioxide (气溶胶: Intermediate Type M/S)</t>
        </is>
      </c>
    </row>
    <row r="101">
      <c r="A101" s="4" t="inlineStr">
        <is>
          <t xml:space="preserve">  双峰峰1(AMAD=15.78μm) C=1.977e-01 e=2.04e-06 D=3.880e-06 Sv</t>
        </is>
      </c>
    </row>
    <row r="102">
      <c r="A102" s="4" t="inlineStr">
        <is>
          <t xml:space="preserve">  双峰峰2(AMAD=0.96μm) C=7.277e-03 e=7.49e-06 D=5.231e-07 Sv</t>
        </is>
      </c>
    </row>
    <row r="103">
      <c r="A103" s="4" t="inlineStr">
        <is>
          <t xml:space="preserve">  合计: 4.403e-06 Sv</t>
        </is>
      </c>
    </row>
    <row r="104">
      <c r="A104" s="4" t="inlineStr">
        <is>
          <t xml:space="preserve">  核素: U_235  丰度: 0.1500</t>
        </is>
      </c>
    </row>
    <row r="105">
      <c r="A105" s="4" t="inlineStr">
        <is>
          <t xml:space="preserve">  化合物: UO2 → Uranium octoxide, uranium dioxide (气溶胶: Intermediate Type M/S)</t>
        </is>
      </c>
    </row>
    <row r="106">
      <c r="A106" s="4" t="inlineStr">
        <is>
          <t xml:space="preserve">  双峰峰1(AMAD=15.78μm) C=3.488e-02 e=2.18e-06 D=7.296e-07 Sv</t>
        </is>
      </c>
    </row>
    <row r="107">
      <c r="A107" s="4" t="inlineStr">
        <is>
          <t xml:space="preserve">  双峰峰2(AMAD=0.96μm) C=1.284e-03 e=7.88e-06 D=9.716e-08 Sv</t>
        </is>
      </c>
    </row>
    <row r="108">
      <c r="A108" s="4" t="inlineStr">
        <is>
          <t xml:space="preserve">  合计: 8.267e-07 Sv</t>
        </is>
      </c>
    </row>
    <row r="109">
      <c r="A109" s="4" t="inlineStr"/>
    </row>
    <row r="110">
      <c r="A110" s="4">
        <f>==== 总有效剂量 = 1.1621e-05 Sv =====</f>
        <v/>
      </c>
    </row>
    <row r="111">
      <c r="A111" s="4" t="inlineStr">
        <is>
          <t>BR = 1.2 m³/h  T = 8.0 h</t>
        </is>
      </c>
    </row>
    <row r="112">
      <c r="A112" s="4" t="inlineStr"/>
    </row>
    <row r="113">
      <c r="A113" s="4">
        <f>===========================================================</f>
        <v/>
      </c>
    </row>
    <row r="114">
      <c r="A114" s="4" t="inlineStr">
        <is>
          <t xml:space="preserve">  第 4 次计算  方法: 正态概率图法</t>
        </is>
      </c>
    </row>
    <row r="115">
      <c r="A115" s="4">
        <f>===========================================================</f>
        <v/>
      </c>
    </row>
    <row r="116">
      <c r="A116" s="4">
        <f>==== 计算开始 =====</f>
        <v/>
      </c>
    </row>
    <row r="117">
      <c r="A117" s="4" t="inlineStr">
        <is>
          <t>方法: probit  口罩: 无防护  BR=1.2 m³/h  T=8.0 h</t>
        </is>
      </c>
    </row>
    <row r="118">
      <c r="A118" s="4" t="inlineStr">
        <is>
          <t>原始总浓度: 2.7610e+00 Bq/m³  校正后: 2.7610e+00 Bq/m³  防护因子: 1.0000</t>
        </is>
      </c>
    </row>
    <row r="119">
      <c r="A119" s="4" t="inlineStr">
        <is>
          <t>正态概率图: AMAD=12.781 μm  GSD=4.996  R²=0.8098</t>
        </is>
      </c>
    </row>
    <row r="120">
      <c r="A120" s="4" t="inlineStr"/>
    </row>
    <row r="121">
      <c r="A121" s="4" t="inlineStr">
        <is>
          <t>--- 化合物: U3O8  气溶胶: Intermediate Type M/S  活度比例: 0.550 ---</t>
        </is>
      </c>
    </row>
    <row r="122">
      <c r="A122" s="4" t="inlineStr">
        <is>
          <t xml:space="preserve">  核素: U_238  丰度: 0.8500</t>
        </is>
      </c>
    </row>
    <row r="123">
      <c r="A123" s="4" t="inlineStr">
        <is>
          <t xml:space="preserve">  化合物: U3O8 → Uranium octoxide, uranium dioxide (气溶胶: Intermediate Type M/S)</t>
        </is>
      </c>
    </row>
    <row r="124">
      <c r="A124" s="4" t="inlineStr">
        <is>
          <t xml:space="preserve">  AMAD=12.78μm  e=2.440e-06  C=1.746e-01  D=4.089e-06 Sv</t>
        </is>
      </c>
    </row>
    <row r="125">
      <c r="A125" s="4" t="inlineStr">
        <is>
          <t xml:space="preserve">  核素: U_235  丰度: 0.1500</t>
        </is>
      </c>
    </row>
    <row r="126">
      <c r="A126" s="4" t="inlineStr">
        <is>
          <t xml:space="preserve">  化合物: U3O8 → Uranium octoxide, uranium dioxide (气溶胶: Intermediate Type M/S)</t>
        </is>
      </c>
    </row>
    <row r="127">
      <c r="A127" s="4" t="inlineStr">
        <is>
          <t xml:space="preserve">  AMAD=12.78μm  e=2.604e-06  C=3.081e-02  D=7.703e-07 Sv</t>
        </is>
      </c>
    </row>
    <row r="128">
      <c r="A128" s="4" t="inlineStr"/>
    </row>
    <row r="129">
      <c r="A129" s="4" t="inlineStr">
        <is>
          <t>--- 化合物: UO2  气溶胶: Intermediate Type M/S  活度比例: 0.450 ---</t>
        </is>
      </c>
    </row>
    <row r="130">
      <c r="A130" s="4" t="inlineStr">
        <is>
          <t xml:space="preserve">  核素: U_238  丰度: 0.8500</t>
        </is>
      </c>
    </row>
    <row r="131">
      <c r="A131" s="4" t="inlineStr">
        <is>
          <t xml:space="preserve">  化合物: UO2 → Uranium octoxide, uranium dioxide (气溶胶: Intermediate Type M/S)</t>
        </is>
      </c>
    </row>
    <row r="132">
      <c r="A132" s="4" t="inlineStr">
        <is>
          <t xml:space="preserve">  AMAD=12.78μm  e=2.440e-06  C=1.428e-01  D=3.346e-06 Sv</t>
        </is>
      </c>
    </row>
    <row r="133">
      <c r="A133" s="4" t="inlineStr">
        <is>
          <t xml:space="preserve">  核素: U_235  丰度: 0.1500</t>
        </is>
      </c>
    </row>
    <row r="134">
      <c r="A134" s="4" t="inlineStr">
        <is>
          <t xml:space="preserve">  化合物: UO2 → Uranium octoxide, uranium dioxide (气溶胶: Intermediate Type M/S)</t>
        </is>
      </c>
    </row>
    <row r="135">
      <c r="A135" s="4" t="inlineStr">
        <is>
          <t xml:space="preserve">  AMAD=12.78μm  e=2.604e-06  C=2.521e-02  D=6.302e-07 Sv</t>
        </is>
      </c>
    </row>
    <row r="136">
      <c r="A136" s="4" t="inlineStr"/>
    </row>
    <row r="137">
      <c r="A137" s="4">
        <f>==== 总有效剂量 = 8.8352e-06 Sv =====</f>
        <v/>
      </c>
    </row>
    <row r="138">
      <c r="A138" s="4" t="inlineStr">
        <is>
          <t>BR = 1.2 m³/h  T = 8.0 h</t>
        </is>
      </c>
    </row>
    <row r="139">
      <c r="A139" s="4" t="inlineStr"/>
    </row>
    <row r="140">
      <c r="A140" s="4">
        <f>===========================================================</f>
        <v/>
      </c>
    </row>
    <row r="141">
      <c r="A141" s="4" t="inlineStr">
        <is>
          <t xml:space="preserve">  第 5 次计算  方法: 逐级独立法</t>
        </is>
      </c>
    </row>
    <row r="142">
      <c r="A142" s="4">
        <f>===========================================================</f>
        <v/>
      </c>
    </row>
    <row r="143">
      <c r="A143" s="4">
        <f>==== 计算开始 =====</f>
        <v/>
      </c>
    </row>
    <row r="144">
      <c r="A144" s="4" t="inlineStr">
        <is>
          <t>方法: stage  口罩: 无防护  BR=1.2 m³/h  T=8.0 h</t>
        </is>
      </c>
    </row>
    <row r="145">
      <c r="A145" s="4" t="inlineStr">
        <is>
          <t>原始总浓度: 2.7610e+00 Bq/m³  校正后: 2.7610e+00 Bq/m³  防护因子: 1.0000</t>
        </is>
      </c>
    </row>
    <row r="146">
      <c r="A146" s="4" t="inlineStr">
        <is>
          <t>逐级独立法：各级独立使用中值粒径查表</t>
        </is>
      </c>
    </row>
    <row r="147">
      <c r="A147" s="4" t="inlineStr"/>
    </row>
    <row r="148">
      <c r="A148" s="4" t="inlineStr">
        <is>
          <t>--- 化合物: U3O8  气溶胶: Intermediate Type M/S  活度比例: 0.550 ---</t>
        </is>
      </c>
    </row>
    <row r="149">
      <c r="A149" s="4" t="inlineStr">
        <is>
          <t xml:space="preserve">  核素: U_238  丰度: 0.8500</t>
        </is>
      </c>
    </row>
    <row r="150">
      <c r="A150" s="4" t="inlineStr">
        <is>
          <t xml:space="preserve">  化合物: U3O8 → Uranium octoxide, uranium dioxide (气溶胶: Intermediate Type M/S)</t>
        </is>
      </c>
    </row>
    <row r="151">
      <c r="A151" s="4" t="inlineStr">
        <is>
          <t xml:space="preserve">    级A(32.63μm) e=1.60e-06 C=2.151e-01 D=3.303e-06</t>
        </is>
      </c>
    </row>
    <row r="152">
      <c r="A152" s="4" t="inlineStr">
        <is>
          <t xml:space="preserve">    级B(17.75μm) e=1.82e-06 C=2.992e-01 D=5.237e-06</t>
        </is>
      </c>
    </row>
    <row r="153">
      <c r="A153" s="4" t="inlineStr">
        <is>
          <t xml:space="preserve">    级C(12.04μm) e=2.55e-06 C=3.506e-01 D=8.588e-06</t>
        </is>
      </c>
    </row>
    <row r="154">
      <c r="A154" s="4" t="inlineStr">
        <is>
          <t xml:space="preserve">    级D(7.67μm) e=3.63e-06 C=2.151e-01 D=7.490e-06</t>
        </is>
      </c>
    </row>
    <row r="155">
      <c r="A155" s="4" t="inlineStr">
        <is>
          <t xml:space="preserve">    级E(4.58μm) e=5.04e-06 C=7.246e-02 D=3.505e-06</t>
        </is>
      </c>
    </row>
    <row r="156">
      <c r="A156" s="4" t="inlineStr">
        <is>
          <t xml:space="preserve">    级F(2.37μm) e=6.46e-06 C=3.646e-02 D=2.261e-06</t>
        </is>
      </c>
    </row>
    <row r="157">
      <c r="A157" s="4" t="inlineStr">
        <is>
          <t xml:space="preserve">    级G(1.20μm) e=7.20e-06 C=1.964e-02 D=1.357e-06</t>
        </is>
      </c>
    </row>
    <row r="158">
      <c r="A158" s="4" t="inlineStr">
        <is>
          <t xml:space="preserve">    级H(0.67μm) e=8.20e-06 C=1.356e-02 D=1.067e-06</t>
        </is>
      </c>
    </row>
    <row r="159">
      <c r="A159" s="4" t="inlineStr">
        <is>
          <t xml:space="preserve">    级Filter(0.22μm) e=1.09e-05 C=6.872e-02 D=7.207e-06</t>
        </is>
      </c>
    </row>
    <row r="160">
      <c r="A160" s="4" t="inlineStr">
        <is>
          <t xml:space="preserve">  逐级合计: 4.001e-05 Sv</t>
        </is>
      </c>
    </row>
    <row r="161">
      <c r="A161" s="4" t="inlineStr">
        <is>
          <t xml:space="preserve">  核素: U_235  丰度: 0.1500</t>
        </is>
      </c>
    </row>
    <row r="162">
      <c r="A162" s="4" t="inlineStr">
        <is>
          <t xml:space="preserve">  化合物: U3O8 → Uranium octoxide, uranium dioxide (气溶胶: Intermediate Type M/S)</t>
        </is>
      </c>
    </row>
    <row r="163">
      <c r="A163" s="4" t="inlineStr">
        <is>
          <t xml:space="preserve">    级A(32.63μm) e=1.70e-06 C=3.795e-02 D=6.193e-07</t>
        </is>
      </c>
    </row>
    <row r="164">
      <c r="A164" s="4" t="inlineStr">
        <is>
          <t xml:space="preserve">    级B(17.75μm) e=1.94e-06 C=5.280e-02 D=9.836e-07</t>
        </is>
      </c>
    </row>
    <row r="165">
      <c r="A165" s="4" t="inlineStr">
        <is>
          <t xml:space="preserve">    级C(12.04μm) e=2.72e-06 C=6.187e-02 D=1.618e-06</t>
        </is>
      </c>
    </row>
    <row r="166">
      <c r="A166" s="4" t="inlineStr">
        <is>
          <t xml:space="preserve">    级D(7.67μm) e=3.87e-06 C=3.795e-02 D=1.409e-06</t>
        </is>
      </c>
    </row>
    <row r="167">
      <c r="A167" s="4" t="inlineStr">
        <is>
          <t xml:space="preserve">    级E(4.58μm) e=5.34e-06 C=1.279e-02 D=6.554e-07</t>
        </is>
      </c>
    </row>
    <row r="168">
      <c r="A168" s="4" t="inlineStr">
        <is>
          <t xml:space="preserve">    级F(2.37μm) e=6.78e-06 C=6.435e-03 D=4.189e-07</t>
        </is>
      </c>
    </row>
    <row r="169">
      <c r="A169" s="4" t="inlineStr">
        <is>
          <t xml:space="preserve">    级G(1.20μm) e=7.58e-06 C=3.465e-03 D=2.523e-07</t>
        </is>
      </c>
    </row>
    <row r="170">
      <c r="A170" s="4" t="inlineStr">
        <is>
          <t xml:space="preserve">    级H(0.67μm) e=8.53e-06 C=2.393e-03 D=1.959e-07</t>
        </is>
      </c>
    </row>
    <row r="171">
      <c r="A171" s="4" t="inlineStr">
        <is>
          <t xml:space="preserve">    级Filter(0.22μm) e=1.11e-05 C=1.213e-02 D=1.289e-06</t>
        </is>
      </c>
    </row>
    <row r="172">
      <c r="A172" s="4" t="inlineStr">
        <is>
          <t xml:space="preserve">  逐级合计: 7.441e-06 Sv</t>
        </is>
      </c>
    </row>
    <row r="173">
      <c r="A173" s="4" t="inlineStr"/>
    </row>
    <row r="174">
      <c r="A174" s="4" t="inlineStr">
        <is>
          <t>--- 化合物: UO2  气溶胶: Intermediate Type M/S  活度比例: 0.450 ---</t>
        </is>
      </c>
    </row>
    <row r="175">
      <c r="A175" s="4" t="inlineStr">
        <is>
          <t xml:space="preserve">  核素: U_238  丰度: 0.8500</t>
        </is>
      </c>
    </row>
    <row r="176">
      <c r="A176" s="4" t="inlineStr">
        <is>
          <t xml:space="preserve">  化合物: UO2 → Uranium octoxide, uranium dioxide (气溶胶: Intermediate Type M/S)</t>
        </is>
      </c>
    </row>
    <row r="177">
      <c r="A177" s="4" t="inlineStr">
        <is>
          <t xml:space="preserve">    级A(32.63μm) e=1.60e-06 C=1.760e-01 D=2.703e-06</t>
        </is>
      </c>
    </row>
    <row r="178">
      <c r="A178" s="4" t="inlineStr">
        <is>
          <t xml:space="preserve">    级B(17.75μm) e=1.82e-06 C=2.448e-01 D=4.285e-06</t>
        </is>
      </c>
    </row>
    <row r="179">
      <c r="A179" s="4" t="inlineStr">
        <is>
          <t xml:space="preserve">    级C(12.04μm) e=2.55e-06 C=2.869e-01 D=7.026e-06</t>
        </is>
      </c>
    </row>
    <row r="180">
      <c r="A180" s="4" t="inlineStr">
        <is>
          <t xml:space="preserve">    级D(7.67μm) e=3.63e-06 C=1.760e-01 D=6.128e-06</t>
        </is>
      </c>
    </row>
    <row r="181">
      <c r="A181" s="4" t="inlineStr">
        <is>
          <t xml:space="preserve">    级E(4.58μm) e=5.04e-06 C=5.929e-02 D=2.868e-06</t>
        </is>
      </c>
    </row>
    <row r="182">
      <c r="A182" s="4" t="inlineStr">
        <is>
          <t xml:space="preserve">    级F(2.37μm) e=6.46e-06 C=2.983e-02 D=1.850e-06</t>
        </is>
      </c>
    </row>
    <row r="183">
      <c r="A183" s="4" t="inlineStr">
        <is>
          <t xml:space="preserve">    级G(1.20μm) e=7.20e-06 C=1.606e-02 D=1.111e-06</t>
        </is>
      </c>
    </row>
    <row r="184">
      <c r="A184" s="4" t="inlineStr">
        <is>
          <t xml:space="preserve">    级H(0.67μm) e=8.20e-06 C=1.109e-02 D=8.728e-07</t>
        </is>
      </c>
    </row>
    <row r="185">
      <c r="A185" s="4" t="inlineStr">
        <is>
          <t xml:space="preserve">    级Filter(0.22μm) e=1.09e-05 C=5.623e-02 D=5.896e-06</t>
        </is>
      </c>
    </row>
    <row r="186">
      <c r="A186" s="4" t="inlineStr">
        <is>
          <t xml:space="preserve">  逐级合计: 3.274e-05 Sv</t>
        </is>
      </c>
    </row>
    <row r="187">
      <c r="A187" s="4" t="inlineStr">
        <is>
          <t xml:space="preserve">  核素: U_235  丰度: 0.1500</t>
        </is>
      </c>
    </row>
    <row r="188">
      <c r="A188" s="4" t="inlineStr">
        <is>
          <t xml:space="preserve">  化合物: UO2 → Uranium octoxide, uranium dioxide (气溶胶: Intermediate Type M/S)</t>
        </is>
      </c>
    </row>
    <row r="189">
      <c r="A189" s="4" t="inlineStr">
        <is>
          <t xml:space="preserve">    级A(32.63μm) e=1.70e-06 C=3.105e-02 D=5.067e-07</t>
        </is>
      </c>
    </row>
    <row r="190">
      <c r="A190" s="4" t="inlineStr">
        <is>
          <t xml:space="preserve">    级B(17.75μm) e=1.94e-06 C=4.320e-02 D=8.048e-07</t>
        </is>
      </c>
    </row>
    <row r="191">
      <c r="A191" s="4" t="inlineStr">
        <is>
          <t xml:space="preserve">    级C(12.04μm) e=2.72e-06 C=5.063e-02 D=1.324e-06</t>
        </is>
      </c>
    </row>
    <row r="192">
      <c r="A192" s="4" t="inlineStr">
        <is>
          <t xml:space="preserve">    级D(7.67μm) e=3.87e-06 C=3.105e-02 D=1.152e-06</t>
        </is>
      </c>
    </row>
    <row r="193">
      <c r="A193" s="4" t="inlineStr">
        <is>
          <t xml:space="preserve">    级E(4.58μm) e=5.34e-06 C=1.046e-02 D=5.362e-07</t>
        </is>
      </c>
    </row>
    <row r="194">
      <c r="A194" s="4" t="inlineStr">
        <is>
          <t xml:space="preserve">    级F(2.37μm) e=6.78e-06 C=5.265e-03 D=3.427e-07</t>
        </is>
      </c>
    </row>
    <row r="195">
      <c r="A195" s="4" t="inlineStr">
        <is>
          <t xml:space="preserve">    级G(1.20μm) e=7.58e-06 C=2.835e-03 D=2.064e-07</t>
        </is>
      </c>
    </row>
    <row r="196">
      <c r="A196" s="4" t="inlineStr">
        <is>
          <t xml:space="preserve">    级H(0.67μm) e=8.53e-06 C=1.958e-03 D=1.603e-07</t>
        </is>
      </c>
    </row>
    <row r="197">
      <c r="A197" s="4" t="inlineStr">
        <is>
          <t xml:space="preserve">    级Filter(0.22μm) e=1.11e-05 C=9.922e-03 D=1.054e-06</t>
        </is>
      </c>
    </row>
    <row r="198">
      <c r="A198" s="4" t="inlineStr">
        <is>
          <t xml:space="preserve">  逐级合计: 6.088e-06 Sv</t>
        </is>
      </c>
    </row>
    <row r="199">
      <c r="A199" s="4" t="inlineStr"/>
    </row>
    <row r="200">
      <c r="A200" s="4">
        <f>==== 总有效剂量 = 8.6283e-05 Sv =====</f>
        <v/>
      </c>
    </row>
    <row r="201">
      <c r="A201" s="4" t="inlineStr">
        <is>
          <t>BR = 1.2 m³/h  T = 8.0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2026-05-23T05:24:22Z</dcterms:created>
  <dcterms:modified xmlns:dcterms="http://purl.org/dc/terms/" xmlns:xsi="http://www.w3.org/2001/XMLSchema-instance" xsi:type="dcterms:W3CDTF">2026-05-23T05:24:22Z</dcterms:modified>
</cp:coreProperties>
</file>